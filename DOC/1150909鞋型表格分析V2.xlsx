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elect-my.sharepoint.com/personal/cheng-yi_use_com_tw/Documents/USE_Projects/Workshop(友士)/SP AX3 Project/SP-666_AX/Doc/"/>
    </mc:Choice>
  </mc:AlternateContent>
  <xr:revisionPtr revIDLastSave="0" documentId="8_{9DE614E3-D038-431C-AD42-D399BD18B123}" xr6:coauthVersionLast="47" xr6:coauthVersionMax="47" xr10:uidLastSave="{00000000-0000-0000-0000-000000000000}"/>
  <bookViews>
    <workbookView xWindow="-28485" yWindow="1755" windowWidth="27825" windowHeight="14490" activeTab="1" xr2:uid="{43C3F51E-9DB8-4CFF-B1A2-D151461A47F3}"/>
  </bookViews>
  <sheets>
    <sheet name="左側(X軸)" sheetId="1" r:id="rId1"/>
    <sheet name="右側(X2軸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F2" i="2"/>
  <c r="G2" i="2"/>
  <c r="F16" i="2"/>
  <c r="F17" i="2"/>
  <c r="F18" i="2"/>
  <c r="F19" i="2"/>
  <c r="F20" i="2"/>
  <c r="F21" i="2"/>
  <c r="F22" i="2"/>
  <c r="F23" i="2"/>
  <c r="F24" i="2"/>
  <c r="F25" i="2"/>
  <c r="F26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G5" i="2"/>
  <c r="G7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B3" i="2"/>
  <c r="B4" i="2"/>
  <c r="G3" i="2" s="1"/>
  <c r="B5" i="2"/>
  <c r="G4" i="2" s="1"/>
  <c r="B6" i="2"/>
  <c r="B7" i="2"/>
  <c r="B8" i="2"/>
  <c r="B9" i="2"/>
  <c r="B10" i="2"/>
  <c r="G9" i="2" s="1"/>
  <c r="B11" i="2"/>
  <c r="B12" i="2"/>
  <c r="G11" i="2" s="1"/>
  <c r="B13" i="2"/>
  <c r="G12" i="2" s="1"/>
  <c r="B14" i="2"/>
  <c r="G13" i="2" s="1"/>
  <c r="B15" i="2"/>
  <c r="B16" i="2"/>
  <c r="G15" i="2" s="1"/>
  <c r="B17" i="2"/>
  <c r="G16" i="2" s="1"/>
  <c r="B18" i="2"/>
  <c r="G17" i="2" s="1"/>
  <c r="B19" i="2"/>
  <c r="G18" i="2" s="1"/>
  <c r="B20" i="2"/>
  <c r="G19" i="2" s="1"/>
  <c r="B21" i="2"/>
  <c r="G20" i="2" s="1"/>
  <c r="B22" i="2"/>
  <c r="G21" i="2" s="1"/>
  <c r="B23" i="2"/>
  <c r="B24" i="2"/>
  <c r="G23" i="2" s="1"/>
  <c r="B25" i="2"/>
  <c r="G24" i="2" s="1"/>
  <c r="B26" i="2"/>
  <c r="G26" i="2" s="1"/>
  <c r="B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" i="1"/>
  <c r="G6" i="2" l="1"/>
  <c r="G22" i="2"/>
  <c r="G10" i="2"/>
  <c r="G8" i="2"/>
  <c r="G14" i="2"/>
  <c r="G25" i="2"/>
</calcChain>
</file>

<file path=xl/sharedStrings.xml><?xml version="1.0" encoding="utf-8"?>
<sst xmlns="http://schemas.openxmlformats.org/spreadsheetml/2006/main" count="14" uniqueCount="11">
  <si>
    <t>Y軸理論值</t>
  </si>
  <si>
    <t>dX差異值</t>
    <phoneticPr fontId="1" type="noConversion"/>
  </si>
  <si>
    <t>X軸理論值</t>
    <phoneticPr fontId="1" type="noConversion"/>
  </si>
  <si>
    <t>SLOP</t>
    <phoneticPr fontId="1" type="noConversion"/>
  </si>
  <si>
    <t>SLOP1</t>
    <phoneticPr fontId="1" type="noConversion"/>
  </si>
  <si>
    <t>Servo X</t>
    <phoneticPr fontId="1" type="noConversion"/>
  </si>
  <si>
    <t>SLOP2</t>
    <phoneticPr fontId="1" type="noConversion"/>
  </si>
  <si>
    <t>目標ServoX</t>
    <phoneticPr fontId="1" type="noConversion"/>
  </si>
  <si>
    <t>Token : 導出一個函數 F(X)= XReal = A+ BX, 求 A, B</t>
    <phoneticPr fontId="1" type="noConversion"/>
  </si>
  <si>
    <r>
      <t>X軸理論值 = ServoX -</t>
    </r>
    <r>
      <rPr>
        <b/>
        <sz val="16"/>
        <color rgb="FFFF0000"/>
        <rFont val="新細明體"/>
        <family val="1"/>
        <charset val="136"/>
        <scheme val="minor"/>
      </rPr>
      <t>30</t>
    </r>
    <r>
      <rPr>
        <b/>
        <sz val="16"/>
        <color theme="1"/>
        <rFont val="新細明體"/>
        <family val="1"/>
        <charset val="136"/>
        <scheme val="minor"/>
      </rPr>
      <t xml:space="preserve"> , 之前</t>
    </r>
    <r>
      <rPr>
        <b/>
        <sz val="16"/>
        <color rgb="FFFF0000"/>
        <rFont val="新細明體"/>
        <family val="1"/>
        <charset val="136"/>
        <scheme val="minor"/>
      </rPr>
      <t>30</t>
    </r>
    <r>
      <rPr>
        <b/>
        <sz val="16"/>
        <color theme="1"/>
        <rFont val="新細明體"/>
        <family val="1"/>
        <charset val="136"/>
        <scheme val="minor"/>
      </rPr>
      <t>都未在修正計算中</t>
    </r>
    <phoneticPr fontId="1" type="noConversion"/>
  </si>
  <si>
    <t>回歸ServoX(反推驗證)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</si>
</sst>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16"/>
      <color rgb="FFFF0000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quotePrefix="1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247650</xdr:colOff>
      <xdr:row>0</xdr:row>
      <xdr:rowOff>190500</xdr:rowOff>
    </xdr:from>
    <xdr:to>
      <xdr:col>18</xdr:col>
      <xdr:colOff>343775</xdr:colOff>
      <xdr:row>16</xdr:row>
      <xdr:rowOff>95705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35F17D3-796A-4E54-3131-A51A220C6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1050" y="190500"/>
          <a:ext cx="6268325" cy="3258005"/>
        </a:xfrm>
        <a:prstGeom prst="rect">
          <a:avLst/>
        </a:prstGeom>
      </xdr:spPr>
    </xdr:pic>
    <xdr:clientData/>
  </xdr:twoCellAnchor>
  <xdr:twoCellAnchor editAs="oneCell">
    <xdr:from>
      <xdr:col>18</xdr:col>
      <xdr:colOff>295275</xdr:colOff>
      <xdr:row>0</xdr:row>
      <xdr:rowOff>0</xdr:rowOff>
    </xdr:from>
    <xdr:to>
      <xdr:col>23</xdr:col>
      <xdr:colOff>514859</xdr:colOff>
      <xdr:row>26</xdr:row>
      <xdr:rowOff>76987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2DEFCA4C-621F-ABA3-3AB9-C489DCE40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20875" y="0"/>
          <a:ext cx="3648584" cy="563958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1EFF-5A92-4495-9D18-247167A1159D}">
  <dimension ref="A1:E26"/>
  <sheetViews>
    <sheetView workbookViewId="0">
      <selection activeCell="E3" sqref="E3"/>
    </sheetView>
  </sheetViews>
  <sheetFormatPr defaultRowHeight="16.5" x14ac:dyDescent="0.25"/>
  <cols>
    <col min="1" max="2" width="11" bestFit="1" customWidth="1"/>
    <col min="3" max="3" width="11.5" bestFit="1" customWidth="1"/>
    <col min="4" max="4" width="23.5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 t="s">
        <v>3</v>
      </c>
    </row>
    <row r="2" spans="1:5" x14ac:dyDescent="0.25">
      <c r="A2" s="1">
        <v>145</v>
      </c>
      <c r="B2" s="1">
        <f>E2-130</f>
        <v>-30</v>
      </c>
      <c r="C2" s="1">
        <v>70</v>
      </c>
      <c r="D2" s="1"/>
      <c r="E2" s="1">
        <v>100</v>
      </c>
    </row>
    <row r="3" spans="1:5" x14ac:dyDescent="0.25">
      <c r="A3" s="1">
        <v>230</v>
      </c>
      <c r="B3" s="1">
        <f t="shared" ref="B3:B26" si="0">E3-130</f>
        <v>-20</v>
      </c>
      <c r="C3" s="1">
        <v>60</v>
      </c>
      <c r="D3" s="1">
        <f>(B2-B3)/(A2-A3)</f>
        <v>0.11764705882352941</v>
      </c>
      <c r="E3" s="1">
        <v>110</v>
      </c>
    </row>
    <row r="4" spans="1:5" x14ac:dyDescent="0.25">
      <c r="A4" s="1">
        <v>315</v>
      </c>
      <c r="B4" s="1">
        <f t="shared" si="0"/>
        <v>-10</v>
      </c>
      <c r="C4" s="1">
        <v>60</v>
      </c>
      <c r="D4" s="1">
        <f t="shared" ref="D4:D26" si="1">(B3-B4)/(A3-A4)</f>
        <v>0.11764705882352941</v>
      </c>
      <c r="E4" s="1">
        <v>120</v>
      </c>
    </row>
    <row r="5" spans="1:5" s="4" customFormat="1" x14ac:dyDescent="0.25">
      <c r="A5" s="3">
        <v>400</v>
      </c>
      <c r="B5" s="3">
        <f t="shared" si="0"/>
        <v>-5</v>
      </c>
      <c r="C5" s="3">
        <v>55</v>
      </c>
      <c r="D5" s="3">
        <f t="shared" si="1"/>
        <v>5.8823529411764705E-2</v>
      </c>
      <c r="E5" s="3">
        <v>125</v>
      </c>
    </row>
    <row r="6" spans="1:5" s="4" customFormat="1" x14ac:dyDescent="0.25">
      <c r="A6" s="3">
        <v>485</v>
      </c>
      <c r="B6" s="3">
        <f t="shared" si="0"/>
        <v>0</v>
      </c>
      <c r="C6" s="3">
        <v>50</v>
      </c>
      <c r="D6" s="3">
        <f t="shared" si="1"/>
        <v>5.8823529411764705E-2</v>
      </c>
      <c r="E6" s="3">
        <v>130</v>
      </c>
    </row>
    <row r="7" spans="1:5" x14ac:dyDescent="0.25">
      <c r="A7" s="1">
        <v>570</v>
      </c>
      <c r="B7" s="1">
        <f t="shared" si="0"/>
        <v>10</v>
      </c>
      <c r="C7" s="1">
        <v>40</v>
      </c>
      <c r="D7" s="1">
        <f t="shared" si="1"/>
        <v>0.11764705882352941</v>
      </c>
      <c r="E7" s="1">
        <v>140</v>
      </c>
    </row>
    <row r="8" spans="1:5" x14ac:dyDescent="0.25">
      <c r="A8" s="1">
        <v>655</v>
      </c>
      <c r="B8" s="1">
        <f t="shared" si="0"/>
        <v>20</v>
      </c>
      <c r="C8" s="1">
        <v>35</v>
      </c>
      <c r="D8" s="1">
        <f t="shared" si="1"/>
        <v>0.11764705882352941</v>
      </c>
      <c r="E8" s="1">
        <v>150</v>
      </c>
    </row>
    <row r="9" spans="1:5" s="4" customFormat="1" x14ac:dyDescent="0.25">
      <c r="A9" s="3">
        <v>740</v>
      </c>
      <c r="B9" s="3">
        <f t="shared" si="0"/>
        <v>25</v>
      </c>
      <c r="C9" s="3">
        <v>30</v>
      </c>
      <c r="D9" s="3">
        <f t="shared" si="1"/>
        <v>5.8823529411764705E-2</v>
      </c>
      <c r="E9" s="3">
        <v>155</v>
      </c>
    </row>
    <row r="10" spans="1:5" x14ac:dyDescent="0.25">
      <c r="A10" s="1">
        <v>825</v>
      </c>
      <c r="B10" s="1">
        <f t="shared" si="0"/>
        <v>35</v>
      </c>
      <c r="C10" s="1">
        <v>20</v>
      </c>
      <c r="D10" s="1">
        <f t="shared" si="1"/>
        <v>0.11764705882352941</v>
      </c>
      <c r="E10" s="1">
        <v>165</v>
      </c>
    </row>
    <row r="11" spans="1:5" x14ac:dyDescent="0.25">
      <c r="A11" s="1">
        <v>910</v>
      </c>
      <c r="B11" s="1">
        <f t="shared" si="0"/>
        <v>45</v>
      </c>
      <c r="C11" s="1">
        <v>10</v>
      </c>
      <c r="D11" s="1">
        <f t="shared" si="1"/>
        <v>0.11764705882352941</v>
      </c>
      <c r="E11" s="1">
        <v>175</v>
      </c>
    </row>
    <row r="12" spans="1:5" x14ac:dyDescent="0.25">
      <c r="A12" s="1">
        <v>995</v>
      </c>
      <c r="B12" s="1">
        <f t="shared" si="0"/>
        <v>55</v>
      </c>
      <c r="C12" s="1">
        <v>0</v>
      </c>
      <c r="D12" s="1">
        <f t="shared" si="1"/>
        <v>0.11764705882352941</v>
      </c>
      <c r="E12" s="1">
        <v>185</v>
      </c>
    </row>
    <row r="13" spans="1:5" x14ac:dyDescent="0.25">
      <c r="A13" s="1">
        <v>1080</v>
      </c>
      <c r="B13" s="1">
        <f t="shared" si="0"/>
        <v>65</v>
      </c>
      <c r="C13" s="1">
        <v>-10</v>
      </c>
      <c r="D13" s="1">
        <f t="shared" si="1"/>
        <v>0.11764705882352941</v>
      </c>
      <c r="E13" s="1">
        <v>195</v>
      </c>
    </row>
    <row r="14" spans="1:5" s="4" customFormat="1" x14ac:dyDescent="0.25">
      <c r="A14" s="3">
        <v>1165</v>
      </c>
      <c r="B14" s="3">
        <f t="shared" si="0"/>
        <v>70</v>
      </c>
      <c r="C14" s="3">
        <v>-15</v>
      </c>
      <c r="D14" s="3">
        <f t="shared" si="1"/>
        <v>5.8823529411764705E-2</v>
      </c>
      <c r="E14" s="3">
        <v>200</v>
      </c>
    </row>
    <row r="15" spans="1:5" s="4" customFormat="1" x14ac:dyDescent="0.25">
      <c r="A15" s="3">
        <v>1250</v>
      </c>
      <c r="B15" s="3">
        <f t="shared" si="0"/>
        <v>75</v>
      </c>
      <c r="C15" s="3">
        <v>-15</v>
      </c>
      <c r="D15" s="3">
        <f t="shared" si="1"/>
        <v>5.8823529411764705E-2</v>
      </c>
      <c r="E15" s="3">
        <v>205</v>
      </c>
    </row>
    <row r="16" spans="1:5" x14ac:dyDescent="0.25">
      <c r="A16" s="1">
        <v>1335</v>
      </c>
      <c r="B16" s="1">
        <f t="shared" si="0"/>
        <v>85</v>
      </c>
      <c r="C16" s="1">
        <v>-15</v>
      </c>
      <c r="D16" s="1">
        <f t="shared" si="1"/>
        <v>0.11764705882352941</v>
      </c>
      <c r="E16" s="1">
        <v>215</v>
      </c>
    </row>
    <row r="17" spans="1:5" x14ac:dyDescent="0.25">
      <c r="A17" s="1">
        <v>1420</v>
      </c>
      <c r="B17" s="1">
        <f t="shared" si="0"/>
        <v>95</v>
      </c>
      <c r="C17" s="1">
        <v>-15</v>
      </c>
      <c r="D17" s="1">
        <f t="shared" si="1"/>
        <v>0.11764705882352941</v>
      </c>
      <c r="E17" s="1">
        <v>225</v>
      </c>
    </row>
    <row r="18" spans="1:5" s="4" customFormat="1" x14ac:dyDescent="0.25">
      <c r="A18" s="3">
        <v>1505</v>
      </c>
      <c r="B18" s="3">
        <f t="shared" si="0"/>
        <v>100</v>
      </c>
      <c r="C18" s="3">
        <v>-15</v>
      </c>
      <c r="D18" s="3">
        <f t="shared" si="1"/>
        <v>5.8823529411764705E-2</v>
      </c>
      <c r="E18" s="3">
        <v>230</v>
      </c>
    </row>
    <row r="19" spans="1:5" x14ac:dyDescent="0.25">
      <c r="A19" s="1">
        <v>1590</v>
      </c>
      <c r="B19" s="1">
        <f t="shared" si="0"/>
        <v>110</v>
      </c>
      <c r="C19" s="1">
        <v>-15</v>
      </c>
      <c r="D19" s="1">
        <f t="shared" si="1"/>
        <v>0.11764705882352941</v>
      </c>
      <c r="E19" s="1">
        <v>240</v>
      </c>
    </row>
    <row r="20" spans="1:5" s="4" customFormat="1" x14ac:dyDescent="0.25">
      <c r="A20" s="3">
        <v>1680</v>
      </c>
      <c r="B20" s="3">
        <f t="shared" si="0"/>
        <v>115</v>
      </c>
      <c r="C20" s="3">
        <v>-20</v>
      </c>
      <c r="D20" s="3">
        <f t="shared" si="1"/>
        <v>5.5555555555555552E-2</v>
      </c>
      <c r="E20" s="3">
        <v>245</v>
      </c>
    </row>
    <row r="21" spans="1:5" x14ac:dyDescent="0.25">
      <c r="A21" s="1">
        <v>1765</v>
      </c>
      <c r="B21" s="1">
        <f t="shared" si="0"/>
        <v>125</v>
      </c>
      <c r="C21" s="1">
        <v>-25</v>
      </c>
      <c r="D21" s="1">
        <f t="shared" si="1"/>
        <v>0.11764705882352941</v>
      </c>
      <c r="E21" s="1">
        <v>255</v>
      </c>
    </row>
    <row r="22" spans="1:5" x14ac:dyDescent="0.25">
      <c r="A22" s="1">
        <v>1850</v>
      </c>
      <c r="B22" s="1">
        <f t="shared" si="0"/>
        <v>135</v>
      </c>
      <c r="C22" s="1">
        <v>-25</v>
      </c>
      <c r="D22" s="1">
        <f t="shared" si="1"/>
        <v>0.11764705882352941</v>
      </c>
      <c r="E22" s="1">
        <v>265</v>
      </c>
    </row>
    <row r="23" spans="1:5" x14ac:dyDescent="0.25">
      <c r="A23" s="1">
        <v>1935</v>
      </c>
      <c r="B23" s="1">
        <f t="shared" si="0"/>
        <v>145</v>
      </c>
      <c r="C23" s="1">
        <v>-30</v>
      </c>
      <c r="D23" s="1">
        <f t="shared" si="1"/>
        <v>0.11764705882352941</v>
      </c>
      <c r="E23" s="1">
        <v>275</v>
      </c>
    </row>
    <row r="24" spans="1:5" s="4" customFormat="1" x14ac:dyDescent="0.25">
      <c r="A24" s="3">
        <v>2020</v>
      </c>
      <c r="B24" s="3">
        <f t="shared" si="0"/>
        <v>150</v>
      </c>
      <c r="C24" s="3">
        <v>-40</v>
      </c>
      <c r="D24" s="3">
        <f t="shared" si="1"/>
        <v>5.8823529411764705E-2</v>
      </c>
      <c r="E24" s="3">
        <v>280</v>
      </c>
    </row>
    <row r="25" spans="1:5" s="4" customFormat="1" x14ac:dyDescent="0.25">
      <c r="A25" s="3">
        <v>2105</v>
      </c>
      <c r="B25" s="3">
        <f t="shared" si="0"/>
        <v>155</v>
      </c>
      <c r="C25" s="3">
        <v>-50</v>
      </c>
      <c r="D25" s="3">
        <f t="shared" si="1"/>
        <v>5.8823529411764705E-2</v>
      </c>
      <c r="E25" s="3">
        <v>285</v>
      </c>
    </row>
    <row r="26" spans="1:5" x14ac:dyDescent="0.25">
      <c r="A26" s="1">
        <v>2220</v>
      </c>
      <c r="B26" s="1">
        <f t="shared" si="0"/>
        <v>170</v>
      </c>
      <c r="C26" s="1">
        <v>-50</v>
      </c>
      <c r="D26" s="1">
        <f t="shared" si="1"/>
        <v>0.13043478260869565</v>
      </c>
      <c r="E26" s="1">
        <v>300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AF05-2EFD-479D-ACE7-1B876E8FB8A1}">
  <sheetPr>
    <pageSetUpPr fitToPage="1"/>
  </sheetPr>
  <dimension ref="A1:R26"/>
  <sheetViews>
    <sheetView tabSelected="1" workbookViewId="0">
      <selection activeCell="O27" sqref="O27"/>
    </sheetView>
  </sheetViews>
  <sheetFormatPr defaultRowHeight="16.5" x14ac:dyDescent="0.25"/>
  <cols>
    <col min="1" max="2" width="11" bestFit="1" customWidth="1"/>
    <col min="3" max="3" width="11.5" bestFit="1" customWidth="1"/>
    <col min="4" max="4" width="13" customWidth="1"/>
    <col min="5" max="5" width="8" customWidth="1"/>
    <col min="6" max="6" width="13.5" customWidth="1"/>
    <col min="7" max="7" width="4.75" customWidth="1"/>
    <col min="8" max="8" width="5.625" hidden="1" customWidth="1"/>
    <col min="9" max="9" width="20.625" customWidth="1"/>
  </cols>
  <sheetData>
    <row r="1" spans="1:9" x14ac:dyDescent="0.25">
      <c r="A1" s="1" t="s">
        <v>0</v>
      </c>
      <c r="B1" s="1" t="s">
        <v>2</v>
      </c>
      <c r="C1" s="1" t="s">
        <v>1</v>
      </c>
      <c r="D1" s="1" t="s">
        <v>7</v>
      </c>
      <c r="E1" s="1" t="s">
        <v>5</v>
      </c>
      <c r="F1" s="1" t="s">
        <v>6</v>
      </c>
      <c r="G1" s="1" t="s">
        <v>4</v>
      </c>
      <c r="I1" s="1" t="s">
        <v>10</v>
      </c>
    </row>
    <row r="2" spans="1:9" x14ac:dyDescent="0.25">
      <c r="A2" s="1">
        <v>145</v>
      </c>
      <c r="B2" s="1">
        <f>E2-30</f>
        <v>70</v>
      </c>
      <c r="C2" s="2">
        <v>-40</v>
      </c>
      <c r="D2" s="8">
        <f>E2+C2</f>
        <v>60</v>
      </c>
      <c r="E2">
        <v>100</v>
      </c>
      <c r="F2">
        <f>(E3-E2)/(A3-A2)</f>
        <v>0.11764705882352941</v>
      </c>
      <c r="G2">
        <f>(A3-A2)/(B3-B2)</f>
        <v>8.5</v>
      </c>
      <c r="I2" s="8">
        <f>-111.09+1.6686*E2</f>
        <v>55.77000000000001</v>
      </c>
    </row>
    <row r="3" spans="1:9" x14ac:dyDescent="0.25">
      <c r="A3" s="1">
        <v>230</v>
      </c>
      <c r="B3" s="1">
        <f t="shared" ref="B3:B26" si="0">E3-30</f>
        <v>80</v>
      </c>
      <c r="C3" s="2">
        <v>-40</v>
      </c>
      <c r="D3" s="8">
        <f t="shared" ref="D3:D26" si="1">E3+C3</f>
        <v>70</v>
      </c>
      <c r="E3">
        <v>110</v>
      </c>
      <c r="F3">
        <f t="shared" ref="F2:F26" si="2">(E4-E3)/(A4-A3)</f>
        <v>0.11764705882352941</v>
      </c>
      <c r="G3">
        <f t="shared" ref="G2:G26" si="3">(A4-A3)/(B4-B3)</f>
        <v>8.5</v>
      </c>
      <c r="I3" s="8">
        <f t="shared" ref="I3:I26" si="4">-111.09+1.6686*E3</f>
        <v>72.456000000000017</v>
      </c>
    </row>
    <row r="4" spans="1:9" x14ac:dyDescent="0.25">
      <c r="A4" s="1">
        <v>315</v>
      </c>
      <c r="B4" s="1">
        <f t="shared" si="0"/>
        <v>90</v>
      </c>
      <c r="C4" s="2">
        <v>-35</v>
      </c>
      <c r="D4" s="8">
        <f t="shared" si="1"/>
        <v>85</v>
      </c>
      <c r="E4">
        <v>120</v>
      </c>
      <c r="F4">
        <f t="shared" si="2"/>
        <v>0.11764705882352941</v>
      </c>
      <c r="G4">
        <f t="shared" si="3"/>
        <v>8.5</v>
      </c>
      <c r="I4" s="8">
        <f t="shared" si="4"/>
        <v>89.141999999999996</v>
      </c>
    </row>
    <row r="5" spans="1:9" x14ac:dyDescent="0.25">
      <c r="A5" s="1">
        <v>400</v>
      </c>
      <c r="B5" s="1">
        <f t="shared" si="0"/>
        <v>100</v>
      </c>
      <c r="C5" s="2">
        <v>-20</v>
      </c>
      <c r="D5" s="8">
        <f t="shared" si="1"/>
        <v>110</v>
      </c>
      <c r="E5">
        <v>130</v>
      </c>
      <c r="F5">
        <f t="shared" si="2"/>
        <v>0.11764705882352941</v>
      </c>
      <c r="G5">
        <f t="shared" si="3"/>
        <v>8.5</v>
      </c>
      <c r="I5" s="8">
        <f t="shared" si="4"/>
        <v>105.828</v>
      </c>
    </row>
    <row r="6" spans="1:9" x14ac:dyDescent="0.25">
      <c r="A6" s="1">
        <v>485</v>
      </c>
      <c r="B6" s="1">
        <f t="shared" si="0"/>
        <v>110</v>
      </c>
      <c r="C6" s="2">
        <v>-15</v>
      </c>
      <c r="D6" s="8">
        <f t="shared" si="1"/>
        <v>125</v>
      </c>
      <c r="E6">
        <v>140</v>
      </c>
      <c r="F6">
        <f t="shared" si="2"/>
        <v>0.11764705882352941</v>
      </c>
      <c r="G6">
        <f t="shared" si="3"/>
        <v>8.5</v>
      </c>
      <c r="I6" s="8">
        <f t="shared" si="4"/>
        <v>122.51400000000001</v>
      </c>
    </row>
    <row r="7" spans="1:9" x14ac:dyDescent="0.25">
      <c r="A7" s="1">
        <v>570</v>
      </c>
      <c r="B7" s="1">
        <f t="shared" si="0"/>
        <v>120</v>
      </c>
      <c r="C7" s="2">
        <v>-10</v>
      </c>
      <c r="D7" s="8">
        <f t="shared" si="1"/>
        <v>140</v>
      </c>
      <c r="E7">
        <v>150</v>
      </c>
      <c r="F7">
        <f t="shared" si="2"/>
        <v>0.11764705882352941</v>
      </c>
      <c r="G7">
        <f t="shared" si="3"/>
        <v>8.5</v>
      </c>
      <c r="I7" s="8">
        <f t="shared" si="4"/>
        <v>139.20000000000002</v>
      </c>
    </row>
    <row r="8" spans="1:9" x14ac:dyDescent="0.25">
      <c r="A8" s="1">
        <v>655</v>
      </c>
      <c r="B8" s="1">
        <f t="shared" si="0"/>
        <v>130</v>
      </c>
      <c r="C8" s="2">
        <v>0</v>
      </c>
      <c r="D8" s="8">
        <f t="shared" si="1"/>
        <v>160</v>
      </c>
      <c r="E8">
        <v>160</v>
      </c>
      <c r="F8">
        <f t="shared" si="2"/>
        <v>0.11764705882352941</v>
      </c>
      <c r="G8">
        <f t="shared" si="3"/>
        <v>8.5</v>
      </c>
      <c r="I8" s="8">
        <f t="shared" si="4"/>
        <v>155.886</v>
      </c>
    </row>
    <row r="9" spans="1:9" x14ac:dyDescent="0.25">
      <c r="A9" s="1">
        <v>740</v>
      </c>
      <c r="B9" s="1">
        <f t="shared" si="0"/>
        <v>140</v>
      </c>
      <c r="C9" s="2">
        <v>5</v>
      </c>
      <c r="D9" s="8">
        <f t="shared" si="1"/>
        <v>175</v>
      </c>
      <c r="E9">
        <v>170</v>
      </c>
      <c r="F9">
        <f t="shared" si="2"/>
        <v>0.11764705882352941</v>
      </c>
      <c r="G9">
        <f t="shared" si="3"/>
        <v>8.5</v>
      </c>
      <c r="I9" s="8">
        <f t="shared" si="4"/>
        <v>172.57200000000003</v>
      </c>
    </row>
    <row r="10" spans="1:9" x14ac:dyDescent="0.25">
      <c r="A10" s="1">
        <v>825</v>
      </c>
      <c r="B10" s="1">
        <f t="shared" si="0"/>
        <v>150</v>
      </c>
      <c r="C10" s="2">
        <v>10</v>
      </c>
      <c r="D10" s="8">
        <f t="shared" si="1"/>
        <v>190</v>
      </c>
      <c r="E10">
        <v>180</v>
      </c>
      <c r="F10">
        <f t="shared" si="2"/>
        <v>0.11764705882352941</v>
      </c>
      <c r="G10">
        <f t="shared" si="3"/>
        <v>8.5</v>
      </c>
      <c r="I10" s="8">
        <f t="shared" si="4"/>
        <v>189.25800000000001</v>
      </c>
    </row>
    <row r="11" spans="1:9" x14ac:dyDescent="0.25">
      <c r="A11" s="1">
        <v>910</v>
      </c>
      <c r="B11" s="1">
        <f t="shared" si="0"/>
        <v>160</v>
      </c>
      <c r="C11" s="2">
        <v>15</v>
      </c>
      <c r="D11" s="8">
        <f t="shared" si="1"/>
        <v>205</v>
      </c>
      <c r="E11">
        <v>190</v>
      </c>
      <c r="F11">
        <f t="shared" si="2"/>
        <v>0.11764705882352941</v>
      </c>
      <c r="G11">
        <f t="shared" si="3"/>
        <v>8.5</v>
      </c>
      <c r="I11" s="8">
        <f t="shared" si="4"/>
        <v>205.94399999999999</v>
      </c>
    </row>
    <row r="12" spans="1:9" x14ac:dyDescent="0.25">
      <c r="A12" s="1">
        <v>995</v>
      </c>
      <c r="B12" s="1">
        <f t="shared" si="0"/>
        <v>170</v>
      </c>
      <c r="C12" s="2">
        <v>20</v>
      </c>
      <c r="D12" s="8">
        <f t="shared" si="1"/>
        <v>220</v>
      </c>
      <c r="E12">
        <v>200</v>
      </c>
      <c r="F12">
        <f t="shared" si="2"/>
        <v>0.11764705882352941</v>
      </c>
      <c r="G12">
        <f t="shared" si="3"/>
        <v>8.5</v>
      </c>
      <c r="I12" s="8">
        <f t="shared" si="4"/>
        <v>222.63000000000002</v>
      </c>
    </row>
    <row r="13" spans="1:9" x14ac:dyDescent="0.25">
      <c r="A13" s="1">
        <v>1080</v>
      </c>
      <c r="B13" s="1">
        <f t="shared" si="0"/>
        <v>180</v>
      </c>
      <c r="C13" s="2">
        <v>25</v>
      </c>
      <c r="D13" s="8">
        <f t="shared" si="1"/>
        <v>235</v>
      </c>
      <c r="E13">
        <v>210</v>
      </c>
      <c r="F13">
        <f t="shared" si="2"/>
        <v>0.11764705882352941</v>
      </c>
      <c r="G13">
        <f t="shared" si="3"/>
        <v>8.5</v>
      </c>
      <c r="I13" s="8">
        <f t="shared" si="4"/>
        <v>239.316</v>
      </c>
    </row>
    <row r="14" spans="1:9" x14ac:dyDescent="0.25">
      <c r="A14" s="1">
        <v>1165</v>
      </c>
      <c r="B14" s="1">
        <f t="shared" si="0"/>
        <v>190</v>
      </c>
      <c r="C14" s="2">
        <v>30</v>
      </c>
      <c r="D14" s="8">
        <f t="shared" si="1"/>
        <v>250</v>
      </c>
      <c r="E14">
        <v>220</v>
      </c>
      <c r="F14">
        <f t="shared" si="2"/>
        <v>0.11764705882352941</v>
      </c>
      <c r="G14">
        <f t="shared" si="3"/>
        <v>8.5</v>
      </c>
      <c r="I14" s="8">
        <f t="shared" si="4"/>
        <v>256.00200000000007</v>
      </c>
    </row>
    <row r="15" spans="1:9" x14ac:dyDescent="0.25">
      <c r="A15" s="1">
        <v>1250</v>
      </c>
      <c r="B15" s="1">
        <f t="shared" si="0"/>
        <v>200</v>
      </c>
      <c r="C15" s="2">
        <v>35</v>
      </c>
      <c r="D15" s="8">
        <f t="shared" si="1"/>
        <v>265</v>
      </c>
      <c r="E15">
        <v>230</v>
      </c>
      <c r="F15">
        <f t="shared" si="2"/>
        <v>0.11764705882352941</v>
      </c>
      <c r="G15">
        <f t="shared" si="3"/>
        <v>8.5</v>
      </c>
      <c r="I15" s="8">
        <f t="shared" si="4"/>
        <v>272.68799999999999</v>
      </c>
    </row>
    <row r="16" spans="1:9" x14ac:dyDescent="0.25">
      <c r="A16" s="1">
        <v>1335</v>
      </c>
      <c r="B16" s="1">
        <f t="shared" si="0"/>
        <v>210</v>
      </c>
      <c r="C16" s="2">
        <v>50</v>
      </c>
      <c r="D16" s="8">
        <f t="shared" si="1"/>
        <v>290</v>
      </c>
      <c r="E16">
        <v>240</v>
      </c>
      <c r="F16">
        <f t="shared" si="2"/>
        <v>0.11764705882352941</v>
      </c>
      <c r="G16">
        <f t="shared" si="3"/>
        <v>8.5</v>
      </c>
      <c r="I16" s="8">
        <f t="shared" si="4"/>
        <v>289.37400000000002</v>
      </c>
    </row>
    <row r="17" spans="1:18" x14ac:dyDescent="0.25">
      <c r="A17" s="1">
        <v>1420</v>
      </c>
      <c r="B17" s="1">
        <f t="shared" si="0"/>
        <v>220</v>
      </c>
      <c r="C17" s="2">
        <v>55</v>
      </c>
      <c r="D17" s="8">
        <f t="shared" si="1"/>
        <v>305</v>
      </c>
      <c r="E17">
        <v>250</v>
      </c>
      <c r="F17">
        <f t="shared" si="2"/>
        <v>0.11764705882352941</v>
      </c>
      <c r="G17">
        <f t="shared" si="3"/>
        <v>8.5</v>
      </c>
      <c r="I17" s="8">
        <f t="shared" si="4"/>
        <v>306.06000000000006</v>
      </c>
    </row>
    <row r="18" spans="1:18" x14ac:dyDescent="0.25">
      <c r="A18" s="1">
        <v>1505</v>
      </c>
      <c r="B18" s="1">
        <f t="shared" si="0"/>
        <v>230</v>
      </c>
      <c r="C18" s="2">
        <v>60</v>
      </c>
      <c r="D18" s="8">
        <f t="shared" si="1"/>
        <v>320</v>
      </c>
      <c r="E18">
        <v>260</v>
      </c>
      <c r="F18">
        <f t="shared" si="2"/>
        <v>0.11764705882352941</v>
      </c>
      <c r="G18">
        <f t="shared" si="3"/>
        <v>8.5</v>
      </c>
      <c r="I18" s="8">
        <f t="shared" si="4"/>
        <v>322.74599999999998</v>
      </c>
    </row>
    <row r="19" spans="1:18" s="7" customFormat="1" x14ac:dyDescent="0.25">
      <c r="A19" s="5">
        <v>1590</v>
      </c>
      <c r="B19" s="5">
        <f t="shared" si="0"/>
        <v>240</v>
      </c>
      <c r="C19" s="6">
        <v>65</v>
      </c>
      <c r="D19" s="8">
        <f t="shared" si="1"/>
        <v>335</v>
      </c>
      <c r="E19" s="7">
        <v>270</v>
      </c>
      <c r="F19" s="7">
        <f t="shared" si="2"/>
        <v>0.1111111111111111</v>
      </c>
      <c r="G19" s="7">
        <f t="shared" si="3"/>
        <v>9</v>
      </c>
      <c r="I19" s="8">
        <f t="shared" si="4"/>
        <v>339.43200000000002</v>
      </c>
    </row>
    <row r="20" spans="1:18" ht="21" x14ac:dyDescent="0.25">
      <c r="A20" s="1">
        <v>1680</v>
      </c>
      <c r="B20" s="1">
        <f t="shared" si="0"/>
        <v>250</v>
      </c>
      <c r="C20" s="2">
        <v>80</v>
      </c>
      <c r="D20" s="8">
        <f t="shared" si="1"/>
        <v>360</v>
      </c>
      <c r="E20">
        <v>280</v>
      </c>
      <c r="F20">
        <f t="shared" si="2"/>
        <v>0.11764705882352941</v>
      </c>
      <c r="G20">
        <f t="shared" si="3"/>
        <v>8.5</v>
      </c>
      <c r="I20" s="8">
        <f t="shared" si="4"/>
        <v>356.11800000000005</v>
      </c>
      <c r="K20" s="9" t="s">
        <v>8</v>
      </c>
    </row>
    <row r="21" spans="1:18" x14ac:dyDescent="0.25">
      <c r="A21" s="1">
        <v>1765</v>
      </c>
      <c r="B21" s="1">
        <f t="shared" si="0"/>
        <v>260</v>
      </c>
      <c r="C21" s="2">
        <v>85</v>
      </c>
      <c r="D21" s="8">
        <f t="shared" si="1"/>
        <v>375</v>
      </c>
      <c r="E21">
        <v>290</v>
      </c>
      <c r="F21">
        <f t="shared" si="2"/>
        <v>0.11764705882352941</v>
      </c>
      <c r="G21">
        <f t="shared" si="3"/>
        <v>8.5</v>
      </c>
      <c r="I21" s="8">
        <f t="shared" si="4"/>
        <v>372.80399999999997</v>
      </c>
    </row>
    <row r="22" spans="1:18" ht="21" x14ac:dyDescent="0.25">
      <c r="A22" s="1">
        <v>1850</v>
      </c>
      <c r="B22" s="1">
        <f t="shared" si="0"/>
        <v>270</v>
      </c>
      <c r="C22" s="2">
        <v>95</v>
      </c>
      <c r="D22" s="8">
        <f t="shared" si="1"/>
        <v>395</v>
      </c>
      <c r="E22">
        <v>300</v>
      </c>
      <c r="F22">
        <f t="shared" si="2"/>
        <v>0.11764705882352941</v>
      </c>
      <c r="G22">
        <f t="shared" si="3"/>
        <v>8.5</v>
      </c>
      <c r="I22" s="8">
        <f t="shared" si="4"/>
        <v>389.49</v>
      </c>
      <c r="K22" s="10" t="s">
        <v>9</v>
      </c>
      <c r="L22" s="10"/>
      <c r="M22" s="10"/>
      <c r="N22" s="10"/>
      <c r="O22" s="10"/>
      <c r="P22" s="10"/>
      <c r="Q22" s="10"/>
      <c r="R22" s="10"/>
    </row>
    <row r="23" spans="1:18" x14ac:dyDescent="0.25">
      <c r="A23" s="1">
        <v>1935</v>
      </c>
      <c r="B23" s="1">
        <f t="shared" si="0"/>
        <v>280</v>
      </c>
      <c r="C23" s="2">
        <v>95</v>
      </c>
      <c r="D23" s="8">
        <f t="shared" si="1"/>
        <v>405</v>
      </c>
      <c r="E23">
        <v>310</v>
      </c>
      <c r="F23">
        <f t="shared" si="2"/>
        <v>0.11764705882352941</v>
      </c>
      <c r="G23">
        <f t="shared" si="3"/>
        <v>8.5</v>
      </c>
      <c r="I23" s="8">
        <f t="shared" si="4"/>
        <v>406.17600000000004</v>
      </c>
    </row>
    <row r="24" spans="1:18" x14ac:dyDescent="0.25">
      <c r="A24" s="1">
        <v>2020</v>
      </c>
      <c r="B24" s="1">
        <f t="shared" si="0"/>
        <v>290</v>
      </c>
      <c r="C24" s="2">
        <v>105</v>
      </c>
      <c r="D24" s="8">
        <f t="shared" si="1"/>
        <v>425</v>
      </c>
      <c r="E24">
        <v>320</v>
      </c>
      <c r="F24">
        <f t="shared" si="2"/>
        <v>0.11764705882352941</v>
      </c>
      <c r="G24">
        <f t="shared" si="3"/>
        <v>8.5</v>
      </c>
      <c r="I24" s="8">
        <f t="shared" si="4"/>
        <v>422.86199999999997</v>
      </c>
    </row>
    <row r="25" spans="1:18" s="7" customFormat="1" x14ac:dyDescent="0.25">
      <c r="A25" s="5">
        <v>2105</v>
      </c>
      <c r="B25" s="5">
        <f t="shared" si="0"/>
        <v>300</v>
      </c>
      <c r="C25" s="6">
        <v>115</v>
      </c>
      <c r="D25" s="8">
        <f t="shared" si="1"/>
        <v>445</v>
      </c>
      <c r="E25" s="7">
        <v>330</v>
      </c>
      <c r="F25" s="7">
        <f t="shared" si="2"/>
        <v>8.6956521739130432E-2</v>
      </c>
      <c r="G25" s="7">
        <f t="shared" si="3"/>
        <v>11.5</v>
      </c>
      <c r="I25" s="8">
        <f t="shared" si="4"/>
        <v>439.548</v>
      </c>
    </row>
    <row r="26" spans="1:18" s="7" customFormat="1" x14ac:dyDescent="0.25">
      <c r="A26" s="5">
        <v>2220</v>
      </c>
      <c r="B26" s="5">
        <f t="shared" si="0"/>
        <v>310</v>
      </c>
      <c r="C26" s="6">
        <v>125</v>
      </c>
      <c r="D26" s="8">
        <f t="shared" si="1"/>
        <v>465</v>
      </c>
      <c r="E26" s="7">
        <v>340</v>
      </c>
      <c r="F26" s="7">
        <f t="shared" si="2"/>
        <v>0.15315315315315314</v>
      </c>
      <c r="G26" s="7">
        <f t="shared" si="3"/>
        <v>7.161290322580645</v>
      </c>
      <c r="I26" s="8">
        <f t="shared" si="4"/>
        <v>456.23400000000004</v>
      </c>
    </row>
  </sheetData>
  <mergeCells count="1">
    <mergeCell ref="K22:R22"/>
  </mergeCells>
  <phoneticPr fontId="1" type="noConversion"/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左側(X軸)</vt:lpstr>
      <vt:lpstr>右側(X2軸)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黃富求</dc:creator>
  <cp:lastModifiedBy>正宜 鐘</cp:lastModifiedBy>
  <cp:lastPrinted>2026-09-11T08:30:44Z</cp:lastPrinted>
  <dcterms:created xsi:type="dcterms:W3CDTF">2026-08-17T04:52:36Z</dcterms:created>
  <dcterms:modified xsi:type="dcterms:W3CDTF">2026-09-11T10:54:18Z</dcterms:modified>
</cp:coreProperties>
</file>